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Tài\auto_mail\"/>
    </mc:Choice>
  </mc:AlternateContent>
  <xr:revisionPtr revIDLastSave="0" documentId="13_ncr:1_{92D284A5-57BB-44CE-865B-A92DA7326CC0}" xr6:coauthVersionLast="47" xr6:coauthVersionMax="47" xr10:uidLastSave="{00000000-0000-0000-0000-000000000000}"/>
  <bookViews>
    <workbookView xWindow="4110" yWindow="4110" windowWidth="21600" windowHeight="11385" xr2:uid="{00000000-000D-0000-FFFF-FFFF00000000}"/>
  </bookViews>
  <sheets>
    <sheet name="data" sheetId="1" r:id="rId1"/>
  </sheets>
  <definedNames>
    <definedName name="_xlnm._FilterDatabase" localSheetId="0" hidden="1">data!$A$1:$AR$5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Z2" i="1"/>
  <c r="AA2" i="1"/>
  <c r="AB2" i="1"/>
  <c r="AC2" i="1"/>
  <c r="AE2" i="1"/>
  <c r="AF2" i="1"/>
  <c r="AG2" i="1"/>
  <c r="AQ2" i="1"/>
  <c r="Y3" i="1"/>
  <c r="Z3" i="1"/>
  <c r="AA3" i="1"/>
  <c r="AB3" i="1"/>
  <c r="AC3" i="1"/>
  <c r="AE3" i="1"/>
  <c r="AF3" i="1"/>
  <c r="AG3" i="1"/>
  <c r="AQ3" i="1"/>
  <c r="Y4" i="1"/>
  <c r="Z4" i="1"/>
  <c r="AA4" i="1"/>
  <c r="AB4" i="1"/>
  <c r="AC4" i="1"/>
  <c r="AE4" i="1"/>
  <c r="AF4" i="1"/>
  <c r="AG4" i="1"/>
  <c r="AQ4" i="1"/>
  <c r="Y5" i="1"/>
  <c r="Z5" i="1"/>
  <c r="AA5" i="1"/>
  <c r="AB5" i="1"/>
  <c r="AC5" i="1"/>
  <c r="AE5" i="1"/>
  <c r="AF5" i="1"/>
  <c r="AG5" i="1"/>
  <c r="AQ5" i="1"/>
  <c r="AH3" i="1" l="1"/>
  <c r="AI2" i="1"/>
  <c r="AH2" i="1"/>
  <c r="AD2" i="1"/>
  <c r="AJ2" i="1" s="1"/>
  <c r="AI4" i="1"/>
  <c r="AD3" i="1"/>
  <c r="AJ3" i="1" s="1"/>
  <c r="AL3" i="1" s="1"/>
  <c r="AH4" i="1"/>
  <c r="AI5" i="1"/>
  <c r="AH5" i="1"/>
  <c r="AD4" i="1"/>
  <c r="AJ4" i="1" s="1"/>
  <c r="AK4" i="1" s="1"/>
  <c r="AD5" i="1"/>
  <c r="AJ5" i="1" s="1"/>
  <c r="AI3" i="1"/>
  <c r="AO3" i="1" s="1"/>
  <c r="AP3" i="1" s="1"/>
  <c r="AR3" i="1" s="1"/>
  <c r="AK2" i="1"/>
  <c r="AK3" i="1"/>
  <c r="AM3" i="1"/>
  <c r="AO2" i="1" l="1"/>
  <c r="AP2" i="1" s="1"/>
  <c r="AR2" i="1" s="1"/>
  <c r="AM2" i="1"/>
  <c r="AN2" i="1" s="1"/>
  <c r="AL2" i="1"/>
  <c r="AL4" i="1"/>
  <c r="AN4" i="1" s="1"/>
  <c r="AM4" i="1"/>
  <c r="AO4" i="1"/>
  <c r="AP4" i="1" s="1"/>
  <c r="AR4" i="1" s="1"/>
  <c r="AN3" i="1"/>
  <c r="AK5" i="1"/>
  <c r="AL5" i="1"/>
  <c r="AM5" i="1"/>
  <c r="AO5" i="1"/>
  <c r="AP5" i="1" s="1"/>
  <c r="AR5" i="1" s="1"/>
  <c r="AN5" i="1" l="1"/>
</calcChain>
</file>

<file path=xl/sharedStrings.xml><?xml version="1.0" encoding="utf-8"?>
<sst xmlns="http://schemas.openxmlformats.org/spreadsheetml/2006/main" count="112" uniqueCount="76">
  <si>
    <t>MA_KHTT</t>
  </si>
  <si>
    <t>TEN_KHTT</t>
  </si>
  <si>
    <t>DCHI_KHTT</t>
  </si>
  <si>
    <t>MA_TNGAN</t>
  </si>
  <si>
    <t>MA_TO</t>
  </si>
  <si>
    <t>KY</t>
  </si>
  <si>
    <t>THANG</t>
  </si>
  <si>
    <t>NAM</t>
  </si>
  <si>
    <t>MA_LOAIDVU</t>
  </si>
  <si>
    <t>SO_HD</t>
  </si>
  <si>
    <t>TIEN_NOP</t>
  </si>
  <si>
    <t>TIEN_THUE</t>
  </si>
  <si>
    <t>TONG_NOP</t>
  </si>
  <si>
    <t>THANGNAMKY</t>
  </si>
  <si>
    <t>MA_SOGCS</t>
  </si>
  <si>
    <t>MA_KHANG</t>
  </si>
  <si>
    <t>TEN_KHANG</t>
  </si>
  <si>
    <t>DIA_CHI</t>
  </si>
  <si>
    <t>MA_GCS</t>
  </si>
  <si>
    <t>MA_NN</t>
  </si>
  <si>
    <t>SO_SERY</t>
  </si>
  <si>
    <t>NGAY_PHANH</t>
  </si>
  <si>
    <t>SDT</t>
  </si>
  <si>
    <t>TD</t>
  </si>
  <si>
    <t>UNKNOW</t>
  </si>
  <si>
    <t>TEN_KH</t>
  </si>
  <si>
    <t>THANG.NAM</t>
  </si>
  <si>
    <t>DAY_TODAY</t>
  </si>
  <si>
    <t>MONTH_TODAY</t>
  </si>
  <si>
    <t>YEAR_TODAY</t>
  </si>
  <si>
    <t>DATE_TODAY</t>
  </si>
  <si>
    <t>DAY_HD</t>
  </si>
  <si>
    <t>MONTH_HD</t>
  </si>
  <si>
    <t>YEAR_HD</t>
  </si>
  <si>
    <t>DATE_HD</t>
  </si>
  <si>
    <t>DAY_TINHLAI</t>
  </si>
  <si>
    <t>MONTH_TINHLAI</t>
  </si>
  <si>
    <t>YEAR_TINHLAI</t>
  </si>
  <si>
    <t>DATE_TINHLAI</t>
  </si>
  <si>
    <t>NGAY_TINHLAI</t>
  </si>
  <si>
    <t>NGAY_TRACHAM</t>
  </si>
  <si>
    <t>TIEN_TRACHAM</t>
  </si>
  <si>
    <t>TIEN_VIPHAMHD</t>
  </si>
  <si>
    <t>TONG_PHAT</t>
  </si>
  <si>
    <t>EMAIL</t>
  </si>
  <si>
    <t>KY_HD</t>
  </si>
  <si>
    <t xml:space="preserve"> T - CHUYEN DUNG ĐL VAN LAM</t>
  </si>
  <si>
    <t>002</t>
  </si>
  <si>
    <t>PA23VLVL01062</t>
  </si>
  <si>
    <t>Hoàng Văn Nam (DT:0981885000)</t>
  </si>
  <si>
    <t xml:space="preserve">Phố Chợ, Xã Như Quỳnh, Tỉnh Hưng Yên </t>
  </si>
  <si>
    <t>Lưu Thị Kim Tuyến - TNV Khách hàng tư gia TT Như Quỳnh</t>
  </si>
  <si>
    <t>VLTTNQ - Thị Trấn Như Quỳnh - Văn Lâm</t>
  </si>
  <si>
    <t>05/2026-1</t>
  </si>
  <si>
    <t>VL001</t>
  </si>
  <si>
    <t>113</t>
  </si>
  <si>
    <t>207287</t>
  </si>
  <si>
    <t>02/06/2026</t>
  </si>
  <si>
    <t>0981885000</t>
  </si>
  <si>
    <t>PA23VLVL01070</t>
  </si>
  <si>
    <t>Đào Thị Lụy (DT:0968437419)</t>
  </si>
  <si>
    <t>109</t>
  </si>
  <si>
    <t>207283</t>
  </si>
  <si>
    <t>0968437419</t>
  </si>
  <si>
    <t>PA23VL0039698</t>
  </si>
  <si>
    <t>Cao Văn Cư (DT:0366979009)</t>
  </si>
  <si>
    <t>171</t>
  </si>
  <si>
    <t>207345</t>
  </si>
  <si>
    <t>0366979009</t>
  </si>
  <si>
    <t>PA23VL0049908</t>
  </si>
  <si>
    <t>Nguyễn Mạnh Sơn (DT:0943968668)</t>
  </si>
  <si>
    <t xml:space="preserve">Thôn Minh Khai, Xã Như Quỳnh, Tỉnh Hưng Yên </t>
  </si>
  <si>
    <t>VL002</t>
  </si>
  <si>
    <t>207401</t>
  </si>
  <si>
    <t>0943968668</t>
  </si>
  <si>
    <t>tainm.216@gmail.com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</si>
</sst>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164" fontId="0" fillId="2" borderId="0" xfId="1" applyNumberFormat="1" applyFont="1" applyFill="1"/>
    <xf numFmtId="0" fontId="3" fillId="2" borderId="0" xfId="3" applyFill="1"/>
  </cellXfs>
  <cellStyles count="4">
    <cellStyle name="Bình thường 2" xfId="2" xr:uid="{08BD369B-EA81-4B91-AFDD-0DAB82B0D647}"/>
    <cellStyle name="Comma" xfId="1" builtinId="3"/>
    <cellStyle name="Hyperlink" xfId="3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itienti21@gmail.com" TargetMode="External"/><Relationship Id="rId2" Type="http://schemas.openxmlformats.org/officeDocument/2006/relationships/hyperlink" Target="mailto:tainm.216@gmail.com" TargetMode="External"/><Relationship Id="rId1" Type="http://schemas.openxmlformats.org/officeDocument/2006/relationships/hyperlink" Target="mailto:taitienti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"/>
  <sheetViews>
    <sheetView tabSelected="1" topLeftCell="O1" workbookViewId="0">
      <selection activeCell="X2" sqref="X2:X5"/>
    </sheetView>
  </sheetViews>
  <sheetFormatPr defaultRowHeight="15.75" x14ac:dyDescent="0.25"/>
  <cols>
    <col min="1" max="12" width="9" customWidth="1"/>
    <col min="13" max="13" width="16.25" style="1" bestFit="1" customWidth="1"/>
    <col min="16" max="16" width="17.25" customWidth="1"/>
    <col min="17" max="17" width="46.25" customWidth="1"/>
    <col min="18" max="18" width="40.375" customWidth="1"/>
    <col min="24" max="29" width="9" style="2"/>
    <col min="30" max="30" width="10.375" style="2" bestFit="1" customWidth="1"/>
    <col min="31" max="34" width="9" style="2"/>
    <col min="35" max="35" width="10.375" style="2" bestFit="1" customWidth="1"/>
    <col min="36" max="41" width="10.375" style="2" customWidth="1"/>
    <col min="42" max="42" width="14.125" style="2" bestFit="1" customWidth="1"/>
    <col min="43" max="43" width="11.125" style="5" customWidth="1"/>
    <col min="44" max="44" width="12.125" style="2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2" t="s">
        <v>44</v>
      </c>
      <c r="Y1" s="2" t="s">
        <v>25</v>
      </c>
      <c r="Z1" s="2" t="s">
        <v>45</v>
      </c>
      <c r="AA1" s="2" t="s">
        <v>31</v>
      </c>
      <c r="AB1" s="2" t="s">
        <v>32</v>
      </c>
      <c r="AC1" s="2" t="s">
        <v>33</v>
      </c>
      <c r="AD1" s="2" t="s">
        <v>34</v>
      </c>
      <c r="AE1" s="2" t="s">
        <v>27</v>
      </c>
      <c r="AF1" s="2" t="s">
        <v>28</v>
      </c>
      <c r="AG1" s="2" t="s">
        <v>29</v>
      </c>
      <c r="AH1" s="2" t="s">
        <v>26</v>
      </c>
      <c r="AI1" s="2" t="s">
        <v>30</v>
      </c>
      <c r="AJ1" s="2" t="s">
        <v>38</v>
      </c>
      <c r="AK1" s="2" t="s">
        <v>35</v>
      </c>
      <c r="AL1" s="2" t="s">
        <v>36</v>
      </c>
      <c r="AM1" s="2" t="s">
        <v>37</v>
      </c>
      <c r="AN1" s="2" t="s">
        <v>39</v>
      </c>
      <c r="AO1" s="2" t="s">
        <v>40</v>
      </c>
      <c r="AP1" s="2" t="s">
        <v>41</v>
      </c>
      <c r="AQ1" s="5" t="s">
        <v>42</v>
      </c>
      <c r="AR1" s="2" t="s">
        <v>43</v>
      </c>
    </row>
    <row r="2" spans="1:44" x14ac:dyDescent="0.25">
      <c r="A2" t="s">
        <v>48</v>
      </c>
      <c r="B2" t="s">
        <v>49</v>
      </c>
      <c r="C2" t="s">
        <v>50</v>
      </c>
      <c r="D2" t="s">
        <v>51</v>
      </c>
      <c r="E2" t="s">
        <v>52</v>
      </c>
      <c r="F2">
        <v>0</v>
      </c>
      <c r="G2">
        <v>0</v>
      </c>
      <c r="H2">
        <v>0</v>
      </c>
      <c r="I2" t="s">
        <v>23</v>
      </c>
      <c r="J2">
        <v>0</v>
      </c>
      <c r="K2">
        <v>69440</v>
      </c>
      <c r="L2">
        <v>5555</v>
      </c>
      <c r="M2" s="1">
        <v>74995</v>
      </c>
      <c r="N2" t="s">
        <v>53</v>
      </c>
      <c r="O2" t="s">
        <v>54</v>
      </c>
      <c r="P2" t="s">
        <v>48</v>
      </c>
      <c r="Q2" t="s">
        <v>49</v>
      </c>
      <c r="R2" t="s">
        <v>50</v>
      </c>
      <c r="S2" t="s">
        <v>55</v>
      </c>
      <c r="T2" t="s">
        <v>24</v>
      </c>
      <c r="U2" t="s">
        <v>56</v>
      </c>
      <c r="V2" t="s">
        <v>57</v>
      </c>
      <c r="W2" t="s">
        <v>58</v>
      </c>
      <c r="X2" s="6" t="s">
        <v>75</v>
      </c>
      <c r="Y2" s="2" t="str">
        <f t="shared" ref="Y2" si="0">LEFT(Q2,FIND(" (DT",Q2)-1)</f>
        <v>Hoàng Văn Nam</v>
      </c>
      <c r="Z2" s="2" t="str">
        <f t="shared" ref="Z2" si="1">RIGHT(N2)</f>
        <v>1</v>
      </c>
      <c r="AA2" s="2" t="str">
        <f t="shared" ref="AA2" si="2">LEFT(V2,2)</f>
        <v>02</v>
      </c>
      <c r="AB2" s="2" t="str">
        <f t="shared" ref="AB2" si="3">MID(V2,4,2)</f>
        <v>06</v>
      </c>
      <c r="AC2" s="2" t="str">
        <f t="shared" ref="AC2" si="4">RIGHT(V2,4)</f>
        <v>2026</v>
      </c>
      <c r="AD2" s="3">
        <f t="shared" ref="AD2" si="5">DATE(AC2,AB2,AA2)</f>
        <v>46175</v>
      </c>
      <c r="AE2" s="2" t="str">
        <f t="shared" ref="AE2:AE5" ca="1" si="6">TEXT(DAY(TODAY()),"00")</f>
        <v>17</v>
      </c>
      <c r="AF2" s="2" t="str">
        <f t="shared" ref="AF2:AF5" ca="1" si="7">TEXT(MONTH(TODAY()),"00")</f>
        <v>06</v>
      </c>
      <c r="AG2" s="2" t="str">
        <f t="shared" ref="AG2:AG5" ca="1" si="8">TEXT(YEAR(TODAY()),"0000")</f>
        <v>2026</v>
      </c>
      <c r="AH2" s="2" t="str">
        <f t="shared" ref="AH2" ca="1" si="9">AF2&amp;"."&amp;AG2</f>
        <v>06.2026</v>
      </c>
      <c r="AI2" s="3">
        <f t="shared" ref="AI2" ca="1" si="10">DATE(AG2,AF2,AE2)</f>
        <v>46190</v>
      </c>
      <c r="AJ2" s="3">
        <f t="shared" ref="AJ2" si="11">AD2+8</f>
        <v>46183</v>
      </c>
      <c r="AK2" s="2" t="str">
        <f t="shared" ref="AK2:AK5" si="12">TEXT(DAY(AJ2),"00")</f>
        <v>10</v>
      </c>
      <c r="AL2" s="2" t="str">
        <f t="shared" ref="AL2" si="13">TEXT(MONTH(AJ2),"00")</f>
        <v>06</v>
      </c>
      <c r="AM2" s="2" t="str">
        <f t="shared" ref="AM2" si="14">TEXT(YEAR(AJ2),"0000")</f>
        <v>2026</v>
      </c>
      <c r="AN2" s="3" t="str">
        <f t="shared" ref="AN2" si="15">AK2&amp;"/"&amp;AL2&amp;"/"&amp;AM2</f>
        <v>10/06/2026</v>
      </c>
      <c r="AO2" s="2">
        <f t="shared" ref="AO2" ca="1" si="16">AI2-AJ2</f>
        <v>7</v>
      </c>
      <c r="AP2" s="4">
        <f t="shared" ref="AP2" ca="1" si="17">ROUND(M2*AO2*8.3%/365,0)</f>
        <v>119</v>
      </c>
      <c r="AQ2" s="5">
        <f t="shared" ref="AQ2" si="18">ROUND(M2*(8%),0)</f>
        <v>6000</v>
      </c>
      <c r="AR2" s="4">
        <f t="shared" ref="AR2" ca="1" si="19">AP2+AQ2</f>
        <v>6119</v>
      </c>
    </row>
    <row r="3" spans="1:44" x14ac:dyDescent="0.25">
      <c r="A3" t="s">
        <v>59</v>
      </c>
      <c r="B3" t="s">
        <v>60</v>
      </c>
      <c r="C3" t="s">
        <v>50</v>
      </c>
      <c r="D3" t="s">
        <v>51</v>
      </c>
      <c r="E3" t="s">
        <v>52</v>
      </c>
      <c r="F3">
        <v>0</v>
      </c>
      <c r="G3">
        <v>0</v>
      </c>
      <c r="H3">
        <v>0</v>
      </c>
      <c r="I3" t="s">
        <v>23</v>
      </c>
      <c r="J3">
        <v>0</v>
      </c>
      <c r="K3">
        <v>688534</v>
      </c>
      <c r="L3">
        <v>55083</v>
      </c>
      <c r="M3" s="1">
        <v>743617</v>
      </c>
      <c r="N3" t="s">
        <v>53</v>
      </c>
      <c r="O3" t="s">
        <v>54</v>
      </c>
      <c r="P3" t="s">
        <v>59</v>
      </c>
      <c r="Q3" t="s">
        <v>60</v>
      </c>
      <c r="R3" t="s">
        <v>50</v>
      </c>
      <c r="S3" t="s">
        <v>61</v>
      </c>
      <c r="T3" t="s">
        <v>24</v>
      </c>
      <c r="U3" t="s">
        <v>62</v>
      </c>
      <c r="V3" t="s">
        <v>57</v>
      </c>
      <c r="W3" t="s">
        <v>63</v>
      </c>
      <c r="X3" s="6" t="s">
        <v>75</v>
      </c>
      <c r="Y3" s="2" t="str">
        <f t="shared" ref="Y3:Y5" si="20">LEFT(Q3,FIND(" (DT",Q3)-1)</f>
        <v>Đào Thị Lụy</v>
      </c>
      <c r="Z3" s="2" t="str">
        <f t="shared" ref="Z3:Z5" si="21">RIGHT(N3)</f>
        <v>1</v>
      </c>
      <c r="AA3" s="2" t="str">
        <f t="shared" ref="AA3:AA5" si="22">LEFT(V3,2)</f>
        <v>02</v>
      </c>
      <c r="AB3" s="2" t="str">
        <f t="shared" ref="AB3:AB5" si="23">MID(V3,4,2)</f>
        <v>06</v>
      </c>
      <c r="AC3" s="2" t="str">
        <f t="shared" ref="AC3:AC5" si="24">RIGHT(V3,4)</f>
        <v>2026</v>
      </c>
      <c r="AD3" s="3">
        <f t="shared" ref="AD3:AD5" si="25">DATE(AC3,AB3,AA3)</f>
        <v>46175</v>
      </c>
      <c r="AE3" s="2" t="str">
        <f t="shared" ca="1" si="6"/>
        <v>17</v>
      </c>
      <c r="AF3" s="2" t="str">
        <f t="shared" ca="1" si="7"/>
        <v>06</v>
      </c>
      <c r="AG3" s="2" t="str">
        <f t="shared" ca="1" si="8"/>
        <v>2026</v>
      </c>
      <c r="AH3" s="2" t="str">
        <f t="shared" ref="AH3:AH5" ca="1" si="26">AF3&amp;"."&amp;AG3</f>
        <v>06.2026</v>
      </c>
      <c r="AI3" s="3">
        <f t="shared" ref="AI3:AI5" ca="1" si="27">DATE(AG3,AF3,AE3)</f>
        <v>46190</v>
      </c>
      <c r="AJ3" s="3">
        <f t="shared" ref="AJ3:AJ5" si="28">AD3+8</f>
        <v>46183</v>
      </c>
      <c r="AK3" s="2" t="str">
        <f t="shared" si="12"/>
        <v>10</v>
      </c>
      <c r="AL3" s="2" t="str">
        <f t="shared" ref="AL3:AL5" si="29">TEXT(MONTH(AJ3),"00")</f>
        <v>06</v>
      </c>
      <c r="AM3" s="2" t="str">
        <f t="shared" ref="AM3:AM5" si="30">TEXT(YEAR(AJ3),"0000")</f>
        <v>2026</v>
      </c>
      <c r="AN3" s="3" t="str">
        <f t="shared" ref="AN3:AN5" si="31">AK3&amp;"/"&amp;AL3&amp;"/"&amp;AM3</f>
        <v>10/06/2026</v>
      </c>
      <c r="AO3" s="2">
        <f t="shared" ref="AO3:AO5" ca="1" si="32">AI3-AJ3</f>
        <v>7</v>
      </c>
      <c r="AP3" s="4">
        <f t="shared" ref="AP3:AP5" ca="1" si="33">ROUND(M3*AO3*8.3%/365,0)</f>
        <v>1184</v>
      </c>
      <c r="AQ3" s="5">
        <f t="shared" ref="AQ3:AQ5" si="34">ROUND(M3*(8%),0)</f>
        <v>59489</v>
      </c>
      <c r="AR3" s="4">
        <f t="shared" ref="AR3:AR5" ca="1" si="35">AP3+AQ3</f>
        <v>60673</v>
      </c>
    </row>
    <row r="4" spans="1:44" x14ac:dyDescent="0.25">
      <c r="A4" t="s">
        <v>64</v>
      </c>
      <c r="B4" t="s">
        <v>65</v>
      </c>
      <c r="C4" t="s">
        <v>50</v>
      </c>
      <c r="D4" t="s">
        <v>51</v>
      </c>
      <c r="E4" t="s">
        <v>52</v>
      </c>
      <c r="F4">
        <v>0</v>
      </c>
      <c r="G4">
        <v>0</v>
      </c>
      <c r="H4">
        <v>0</v>
      </c>
      <c r="I4" t="s">
        <v>23</v>
      </c>
      <c r="J4">
        <v>0</v>
      </c>
      <c r="K4">
        <v>176512</v>
      </c>
      <c r="L4">
        <v>14121</v>
      </c>
      <c r="M4" s="1">
        <v>190633</v>
      </c>
      <c r="N4" t="s">
        <v>53</v>
      </c>
      <c r="O4" t="s">
        <v>54</v>
      </c>
      <c r="P4" t="s">
        <v>64</v>
      </c>
      <c r="Q4" t="s">
        <v>65</v>
      </c>
      <c r="R4" t="s">
        <v>50</v>
      </c>
      <c r="S4" t="s">
        <v>66</v>
      </c>
      <c r="T4" t="s">
        <v>24</v>
      </c>
      <c r="U4" t="s">
        <v>67</v>
      </c>
      <c r="V4" t="s">
        <v>57</v>
      </c>
      <c r="W4" t="s">
        <v>68</v>
      </c>
      <c r="X4" s="6" t="s">
        <v>75</v>
      </c>
      <c r="Y4" s="2" t="str">
        <f t="shared" si="20"/>
        <v>Cao Văn Cư</v>
      </c>
      <c r="Z4" s="2" t="str">
        <f t="shared" si="21"/>
        <v>1</v>
      </c>
      <c r="AA4" s="2" t="str">
        <f t="shared" si="22"/>
        <v>02</v>
      </c>
      <c r="AB4" s="2" t="str">
        <f t="shared" si="23"/>
        <v>06</v>
      </c>
      <c r="AC4" s="2" t="str">
        <f t="shared" si="24"/>
        <v>2026</v>
      </c>
      <c r="AD4" s="3">
        <f t="shared" si="25"/>
        <v>46175</v>
      </c>
      <c r="AE4" s="2" t="str">
        <f t="shared" ca="1" si="6"/>
        <v>17</v>
      </c>
      <c r="AF4" s="2" t="str">
        <f t="shared" ca="1" si="7"/>
        <v>06</v>
      </c>
      <c r="AG4" s="2" t="str">
        <f t="shared" ca="1" si="8"/>
        <v>2026</v>
      </c>
      <c r="AH4" s="2" t="str">
        <f t="shared" ca="1" si="26"/>
        <v>06.2026</v>
      </c>
      <c r="AI4" s="3">
        <f t="shared" ca="1" si="27"/>
        <v>46190</v>
      </c>
      <c r="AJ4" s="3">
        <f t="shared" si="28"/>
        <v>46183</v>
      </c>
      <c r="AK4" s="2" t="str">
        <f t="shared" si="12"/>
        <v>10</v>
      </c>
      <c r="AL4" s="2" t="str">
        <f t="shared" si="29"/>
        <v>06</v>
      </c>
      <c r="AM4" s="2" t="str">
        <f t="shared" si="30"/>
        <v>2026</v>
      </c>
      <c r="AN4" s="3" t="str">
        <f t="shared" si="31"/>
        <v>10/06/2026</v>
      </c>
      <c r="AO4" s="2">
        <f t="shared" ca="1" si="32"/>
        <v>7</v>
      </c>
      <c r="AP4" s="4">
        <f t="shared" ca="1" si="33"/>
        <v>303</v>
      </c>
      <c r="AQ4" s="5">
        <f t="shared" si="34"/>
        <v>15251</v>
      </c>
      <c r="AR4" s="4">
        <f t="shared" ca="1" si="35"/>
        <v>15554</v>
      </c>
    </row>
    <row r="5" spans="1:44" x14ac:dyDescent="0.25">
      <c r="A5" t="s">
        <v>69</v>
      </c>
      <c r="B5" t="s">
        <v>70</v>
      </c>
      <c r="C5" t="s">
        <v>71</v>
      </c>
      <c r="D5" t="s">
        <v>51</v>
      </c>
      <c r="E5" t="s">
        <v>46</v>
      </c>
      <c r="F5">
        <v>0</v>
      </c>
      <c r="G5">
        <v>0</v>
      </c>
      <c r="H5">
        <v>0</v>
      </c>
      <c r="I5" t="s">
        <v>23</v>
      </c>
      <c r="J5">
        <v>0</v>
      </c>
      <c r="K5">
        <v>990570</v>
      </c>
      <c r="L5">
        <v>79246</v>
      </c>
      <c r="M5" s="1">
        <v>1069816</v>
      </c>
      <c r="N5" t="s">
        <v>53</v>
      </c>
      <c r="O5" t="s">
        <v>72</v>
      </c>
      <c r="P5" t="s">
        <v>69</v>
      </c>
      <c r="Q5" t="s">
        <v>70</v>
      </c>
      <c r="R5" t="s">
        <v>71</v>
      </c>
      <c r="S5" t="s">
        <v>47</v>
      </c>
      <c r="T5" t="s">
        <v>24</v>
      </c>
      <c r="U5" t="s">
        <v>73</v>
      </c>
      <c r="V5" t="s">
        <v>57</v>
      </c>
      <c r="W5" t="s">
        <v>74</v>
      </c>
      <c r="X5" s="6" t="s">
        <v>75</v>
      </c>
      <c r="Y5" s="2" t="str">
        <f t="shared" si="20"/>
        <v>Nguyễn Mạnh Sơn</v>
      </c>
      <c r="Z5" s="2" t="str">
        <f t="shared" si="21"/>
        <v>1</v>
      </c>
      <c r="AA5" s="2" t="str">
        <f t="shared" si="22"/>
        <v>02</v>
      </c>
      <c r="AB5" s="2" t="str">
        <f t="shared" si="23"/>
        <v>06</v>
      </c>
      <c r="AC5" s="2" t="str">
        <f t="shared" si="24"/>
        <v>2026</v>
      </c>
      <c r="AD5" s="3">
        <f t="shared" si="25"/>
        <v>46175</v>
      </c>
      <c r="AE5" s="2" t="str">
        <f t="shared" ca="1" si="6"/>
        <v>17</v>
      </c>
      <c r="AF5" s="2" t="str">
        <f t="shared" ca="1" si="7"/>
        <v>06</v>
      </c>
      <c r="AG5" s="2" t="str">
        <f t="shared" ca="1" si="8"/>
        <v>2026</v>
      </c>
      <c r="AH5" s="2" t="str">
        <f t="shared" ca="1" si="26"/>
        <v>06.2026</v>
      </c>
      <c r="AI5" s="3">
        <f t="shared" ca="1" si="27"/>
        <v>46190</v>
      </c>
      <c r="AJ5" s="3">
        <f t="shared" si="28"/>
        <v>46183</v>
      </c>
      <c r="AK5" s="2" t="str">
        <f t="shared" si="12"/>
        <v>10</v>
      </c>
      <c r="AL5" s="2" t="str">
        <f t="shared" si="29"/>
        <v>06</v>
      </c>
      <c r="AM5" s="2" t="str">
        <f t="shared" si="30"/>
        <v>2026</v>
      </c>
      <c r="AN5" s="3" t="str">
        <f t="shared" si="31"/>
        <v>10/06/2026</v>
      </c>
      <c r="AO5" s="2">
        <f t="shared" ca="1" si="32"/>
        <v>7</v>
      </c>
      <c r="AP5" s="4">
        <f t="shared" ca="1" si="33"/>
        <v>1703</v>
      </c>
      <c r="AQ5" s="5">
        <f t="shared" si="34"/>
        <v>85585</v>
      </c>
      <c r="AR5" s="4">
        <f t="shared" ca="1" si="35"/>
        <v>87288</v>
      </c>
    </row>
  </sheetData>
  <autoFilter ref="A1:AR5" xr:uid="{00000000-0001-0000-0000-000000000000}"/>
  <hyperlinks>
    <hyperlink ref="X2:X3" r:id="rId1" display="taitienti21@gmail.com" xr:uid="{27F9D855-0CFE-4DD6-B76D-DAE15C4D035E}"/>
    <hyperlink ref="X2" r:id="rId2" xr:uid="{F59C938E-EB53-4372-A178-012D35CB7604}"/>
    <hyperlink ref="X3:X5" r:id="rId3" display="taitienti21@gmail.com" xr:uid="{23C9821F-074B-4604-91F0-1B2683CD1516}"/>
  </hyperlinks>
  <pageMargins left="0.7" right="0.7" top="0.75" bottom="0.75" header="0.3" footer="0.3"/>
  <ignoredErrors>
    <ignoredError sqref="A1:L1 W1 N1:P1 R1:U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 Thi Kim Tuyen</dc:creator>
  <cp:lastModifiedBy>Nguyen Manh Tai</cp:lastModifiedBy>
  <cp:lastPrinted>2026-06-15T06:45:16Z</cp:lastPrinted>
  <dcterms:created xsi:type="dcterms:W3CDTF">2026-06-12T04:31:32Z</dcterms:created>
  <dcterms:modified xsi:type="dcterms:W3CDTF">2026-06-17T03:27:10Z</dcterms:modified>
</cp:coreProperties>
</file>